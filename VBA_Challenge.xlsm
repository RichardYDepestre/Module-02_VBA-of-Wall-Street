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cademia\columbia-data-bootcamp\stock-analysis\"/>
    </mc:Choice>
  </mc:AlternateContent>
  <xr:revisionPtr revIDLastSave="0" documentId="13_ncr:1_{5C4D41AC-504A-462F-8950-0AB6EFC12F1D}" xr6:coauthVersionLast="46" xr6:coauthVersionMax="46" xr10:uidLastSave="{00000000-0000-0000-0000-000000000000}"/>
  <bookViews>
    <workbookView xWindow="945" yWindow="30" windowWidth="16320" windowHeight="1518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9" i="1"/>
  <c r="I8" i="1"/>
  <c r="I7" i="1"/>
  <c r="I6" i="1"/>
  <c r="I5" i="1"/>
  <c r="I4" i="1"/>
  <c r="I3" i="1"/>
  <c r="I2" i="1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<sst xmlns="http://schemas.openxmlformats.org/spreadsheetml/2006/main" count="12077" uniqueCount="525">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</sst>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I2" sqref="I2:I13"/>
    </sheetView>
  </sheetViews>
  <sheetFormatPr defaultColWidth="8.85546875" defaultRowHeight="15" x14ac:dyDescent="0.25"/>
  <cols>
    <col min="2" max="2" width="10.42578125" bestFit="1" customWidth="1"/>
    <col min="9" max="9" width="10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I2">
        <f>+SUMIF(A:A,"AY",H:H)</f>
        <v>136070900</v>
      </c>
    </row>
    <row r="3" spans="1:9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f>+SUMIF(A:A,"CSIQ",H:H)</f>
        <v>310592800</v>
      </c>
    </row>
    <row r="4" spans="1:9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I4">
        <f>+SUMIF(A:A,"DQ",H:H)</f>
        <v>35796200</v>
      </c>
    </row>
    <row r="5" spans="1:9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f>+SUMIF(A:A,"ENPH",H:H)</f>
        <v>221772100</v>
      </c>
    </row>
    <row r="6" spans="1:9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I6">
        <f>+SUMIF(A:A,"FSLR",H:H)</f>
        <v>684181400</v>
      </c>
    </row>
    <row r="7" spans="1:9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I7">
        <f>+SUMIF(A:A,"HASI",H:H)</f>
        <v>80949300</v>
      </c>
    </row>
    <row r="8" spans="1:9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I8">
        <f>+SUMIF(A:A,"JKS",H:H)</f>
        <v>191632200</v>
      </c>
    </row>
    <row r="9" spans="1:9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I9">
        <f>+SUMIF(A:A,"RUN",H:H)</f>
        <v>267681300</v>
      </c>
    </row>
    <row r="10" spans="1:9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I10">
        <f>+SUMIF(A:A,"SEDG",H:H)</f>
        <v>206885200</v>
      </c>
    </row>
    <row r="11" spans="1:9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f>+SUMIF(A:A,"SPWR",H:H)</f>
        <v>782187000</v>
      </c>
    </row>
    <row r="12" spans="1:9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I12">
        <f>+SUMIF(A:A,"TERP",H:H)</f>
        <v>139402800</v>
      </c>
    </row>
    <row r="13" spans="1:9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I13">
        <f>+SUMIF(A:A,"VSLR",H:H)</f>
        <v>109487900</v>
      </c>
    </row>
    <row r="14" spans="1:9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topLeftCell="A2752" workbookViewId="0">
      <selection activeCell="G2763" sqref="G2763"/>
    </sheetView>
  </sheetViews>
  <sheetFormatPr defaultColWidth="8.85546875" defaultRowHeight="15" x14ac:dyDescent="0.25"/>
  <cols>
    <col min="1" max="1" width="17.5703125" bestFit="1" customWidth="1"/>
    <col min="2" max="2" width="10.42578125" bestFit="1" customWidth="1"/>
    <col min="9" max="9" width="10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s="2">
        <v>43102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+SUMIF(A:A,"AY",H:H)</f>
        <v>83079900</v>
      </c>
    </row>
    <row r="3" spans="1:9" x14ac:dyDescent="0.25">
      <c r="A3" t="s">
        <v>8</v>
      </c>
      <c r="B3" s="2">
        <v>43103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+SUMIF(A:A,"CSIQ",H:H)</f>
        <v>200879900</v>
      </c>
    </row>
    <row r="4" spans="1:9" x14ac:dyDescent="0.25">
      <c r="A4" t="s">
        <v>8</v>
      </c>
      <c r="B4" s="2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>+SUMIF(A:A,"DQ",H:H)</f>
        <v>107873900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+SUMIF(A:A,"ENPH",H:H)</f>
        <v>607473500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>+SUMIF(A:A,"FSLR",H:H)</f>
        <v>478113900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>+SUMIF(A:A,"HASI",H:H)</f>
        <v>104340600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>+SUMIF(A:A,"JKS",H:H)</f>
        <v>158309000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>+SUMIF(A:A,"RUN",H:H)</f>
        <v>502757100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>+SUMIF(A:A,"SEDG",H:H)</f>
        <v>237212300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>+SUMIF(A:A,"SPWR",H:H)</f>
        <v>538024300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>+SUMIF(A:A,"TERP",H:H)</f>
        <v>151434700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>+SUMIF(A:A,"VSLR",H:H)</f>
        <v>136539100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FC6B-2C89-40B3-BE24-C4AB055F4F66}">
  <sheetPr codeName="Sheet3"/>
  <dimension ref="A1:C15"/>
  <sheetViews>
    <sheetView tabSelected="1" workbookViewId="0"/>
  </sheetViews>
  <sheetFormatPr defaultRowHeight="15" x14ac:dyDescent="0.25"/>
  <cols>
    <col min="1" max="1" width="17.5703125" bestFit="1" customWidth="1"/>
    <col min="2" max="2" width="18" bestFit="1" customWidth="1"/>
    <col min="3" max="3" width="11.5703125" bestFit="1" customWidth="1"/>
  </cols>
  <sheetData>
    <row r="1" spans="1:3" x14ac:dyDescent="0.25">
      <c r="A1" t="s">
        <v>524</v>
      </c>
    </row>
    <row r="3" spans="1:3" x14ac:dyDescent="0.25">
      <c r="A3" s="3" t="s">
        <v>0</v>
      </c>
      <c r="B3" s="3" t="s">
        <v>522</v>
      </c>
      <c r="C3" s="3" t="s">
        <v>523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richard depestre</cp:lastModifiedBy>
  <dcterms:created xsi:type="dcterms:W3CDTF">2019-05-02T20:23:55Z</dcterms:created>
  <dcterms:modified xsi:type="dcterms:W3CDTF">2021-02-18T02:37:14Z</dcterms:modified>
</cp:coreProperties>
</file>