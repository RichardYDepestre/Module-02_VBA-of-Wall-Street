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cademia\columbia-data-bootcamp\stock-analysis\"/>
    </mc:Choice>
  </mc:AlternateContent>
  <xr:revisionPtr revIDLastSave="0" documentId="13_ncr:1_{687F28E2-D949-4AFF-8504-44CCC1B89B92}" xr6:coauthVersionLast="46" xr6:coauthVersionMax="46" xr10:uidLastSave="{00000000-0000-0000-0000-000000000000}"/>
  <bookViews>
    <workbookView xWindow="3270" yWindow="1020" windowWidth="16320" windowHeight="15180" activeTab="2" xr2:uid="{00000000-000D-0000-FFFF-FFFF00000000}"/>
  </bookViews>
  <sheets>
    <sheet name="2017" sheetId="1" r:id="rId1"/>
    <sheet name="2018" sheetId="2" r:id="rId2"/>
    <sheet name="All Stocks Analysi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3" i="1" l="1"/>
  <c r="I12" i="1"/>
  <c r="I11" i="1"/>
  <c r="I10" i="1"/>
  <c r="I9" i="1"/>
  <c r="I8" i="1"/>
  <c r="I7" i="1"/>
  <c r="I6" i="1"/>
  <c r="I5" i="1"/>
  <c r="I4" i="1"/>
  <c r="I3" i="1"/>
  <c r="I2" i="1"/>
  <c r="I13" i="2"/>
  <c r="I12" i="2"/>
  <c r="I11" i="2"/>
  <c r="I10" i="2"/>
  <c r="I9" i="2"/>
  <c r="I8" i="2"/>
  <c r="I7" i="2"/>
  <c r="I6" i="2"/>
  <c r="I5" i="2"/>
  <c r="I4" i="2"/>
  <c r="I3" i="2"/>
  <c r="I2" i="2"/>
</calcChain>
</file>

<file path=xl/sharedStrings.xml><?xml version="1.0" encoding="utf-8"?>
<sst xmlns="http://schemas.openxmlformats.org/spreadsheetml/2006/main" count="12077" uniqueCount="525">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</sst>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14" fontId="0" fillId="0" borderId="0" xfId="0" applyNumberFormat="1"/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013"/>
  <sheetViews>
    <sheetView workbookViewId="0">
      <selection activeCell="I2" sqref="I2:I13"/>
    </sheetView>
  </sheetViews>
  <sheetFormatPr defaultColWidth="8.85546875" defaultRowHeight="15" x14ac:dyDescent="0.25"/>
  <cols>
    <col min="2" max="2" width="10.42578125" bestFit="1" customWidth="1"/>
    <col min="9" max="9" width="10" bestFit="1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9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  <c r="I2">
        <f>+SUMIF(A:A,"AY",H:H)</f>
        <v>136070900</v>
      </c>
    </row>
    <row r="3" spans="1:9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  <c r="I3">
        <f>+SUMIF(A:A,"CSIQ",H:H)</f>
        <v>310592800</v>
      </c>
    </row>
    <row r="4" spans="1:9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  <c r="I4">
        <f>+SUMIF(A:A,"DQ",H:H)</f>
        <v>35796200</v>
      </c>
    </row>
    <row r="5" spans="1:9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  <c r="I5">
        <f>+SUMIF(A:A,"ENPH",H:H)</f>
        <v>221772100</v>
      </c>
    </row>
    <row r="6" spans="1:9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  <c r="I6">
        <f>+SUMIF(A:A,"FSLR",H:H)</f>
        <v>684181400</v>
      </c>
    </row>
    <row r="7" spans="1:9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  <c r="I7">
        <f>+SUMIF(A:A,"HASI",H:H)</f>
        <v>80949300</v>
      </c>
    </row>
    <row r="8" spans="1:9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  <c r="I8">
        <f>+SUMIF(A:A,"JKS",H:H)</f>
        <v>191632200</v>
      </c>
    </row>
    <row r="9" spans="1:9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  <c r="I9">
        <f>+SUMIF(A:A,"RUN",H:H)</f>
        <v>267681300</v>
      </c>
    </row>
    <row r="10" spans="1:9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  <c r="I10">
        <f>+SUMIF(A:A,"SEDG",H:H)</f>
        <v>206885200</v>
      </c>
    </row>
    <row r="11" spans="1:9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  <c r="I11">
        <f>+SUMIF(A:A,"SPWR",H:H)</f>
        <v>782187000</v>
      </c>
    </row>
    <row r="12" spans="1:9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  <c r="I12">
        <f>+SUMIF(A:A,"TERP",H:H)</f>
        <v>139402800</v>
      </c>
    </row>
    <row r="13" spans="1:9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  <c r="I13">
        <f>+SUMIF(A:A,"VSLR",H:H)</f>
        <v>109487900</v>
      </c>
    </row>
    <row r="14" spans="1:9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9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9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topLeftCell="A2752" workbookViewId="0">
      <selection activeCell="G2763" sqref="G2763"/>
    </sheetView>
  </sheetViews>
  <sheetFormatPr defaultColWidth="8.85546875" defaultRowHeight="15" x14ac:dyDescent="0.25"/>
  <cols>
    <col min="1" max="1" width="17.5703125" bestFit="1" customWidth="1"/>
    <col min="2" max="2" width="10.42578125" bestFit="1" customWidth="1"/>
    <col min="9" max="9" width="10" bestFit="1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9" x14ac:dyDescent="0.25">
      <c r="A2" t="s">
        <v>8</v>
      </c>
      <c r="B2" s="2">
        <v>43102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I2">
        <f>+SUMIF(A:A,"AY",H:H)</f>
        <v>83079900</v>
      </c>
    </row>
    <row r="3" spans="1:9" x14ac:dyDescent="0.25">
      <c r="A3" t="s">
        <v>8</v>
      </c>
      <c r="B3" s="2">
        <v>43103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I3">
        <f>+SUMIF(A:A,"CSIQ",H:H)</f>
        <v>200879900</v>
      </c>
    </row>
    <row r="4" spans="1:9" x14ac:dyDescent="0.25">
      <c r="A4" t="s">
        <v>8</v>
      </c>
      <c r="B4" s="2">
        <v>43104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I4">
        <f>+SUMIF(A:A,"DQ",H:H)</f>
        <v>107873900</v>
      </c>
    </row>
    <row r="5" spans="1:9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I5">
        <f>+SUMIF(A:A,"ENPH",H:H)</f>
        <v>607473500</v>
      </c>
    </row>
    <row r="6" spans="1:9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I6">
        <f>+SUMIF(A:A,"FSLR",H:H)</f>
        <v>478113900</v>
      </c>
    </row>
    <row r="7" spans="1:9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I7">
        <f>+SUMIF(A:A,"HASI",H:H)</f>
        <v>104340600</v>
      </c>
    </row>
    <row r="8" spans="1:9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I8">
        <f>+SUMIF(A:A,"JKS",H:H)</f>
        <v>158309000</v>
      </c>
    </row>
    <row r="9" spans="1:9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I9">
        <f>+SUMIF(A:A,"RUN",H:H)</f>
        <v>502757100</v>
      </c>
    </row>
    <row r="10" spans="1:9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I10">
        <f>+SUMIF(A:A,"SEDG",H:H)</f>
        <v>237212300</v>
      </c>
    </row>
    <row r="11" spans="1:9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I11">
        <f>+SUMIF(A:A,"SPWR",H:H)</f>
        <v>538024300</v>
      </c>
    </row>
    <row r="12" spans="1:9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I12">
        <f>+SUMIF(A:A,"TERP",H:H)</f>
        <v>151434700</v>
      </c>
    </row>
    <row r="13" spans="1:9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I13">
        <f>+SUMIF(A:A,"VSLR",H:H)</f>
        <v>136539100</v>
      </c>
    </row>
    <row r="14" spans="1:9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9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9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3FC6B-2C89-40B3-BE24-C4AB055F4F66}">
  <sheetPr codeName="Sheet3"/>
  <dimension ref="A1:C15"/>
  <sheetViews>
    <sheetView tabSelected="1" workbookViewId="0"/>
  </sheetViews>
  <sheetFormatPr defaultRowHeight="15" x14ac:dyDescent="0.25"/>
  <cols>
    <col min="1" max="1" width="17.5703125" bestFit="1" customWidth="1"/>
    <col min="2" max="2" width="18" bestFit="1" customWidth="1"/>
    <col min="3" max="3" width="11.5703125" bestFit="1" customWidth="1"/>
  </cols>
  <sheetData>
    <row r="1" spans="1:3" x14ac:dyDescent="0.25">
      <c r="A1" t="s">
        <v>524</v>
      </c>
    </row>
    <row r="3" spans="1:3" x14ac:dyDescent="0.25">
      <c r="A3" s="3" t="s">
        <v>0</v>
      </c>
      <c r="B3" s="3" t="s">
        <v>522</v>
      </c>
      <c r="C3" s="3" t="s">
        <v>523</v>
      </c>
    </row>
    <row r="4" spans="1:3" x14ac:dyDescent="0.25">
      <c r="A4" t="s">
        <v>8</v>
      </c>
      <c r="B4" s="4">
        <v>83079900</v>
      </c>
      <c r="C4" s="5">
        <v>-7.2847634553909302E-2</v>
      </c>
    </row>
    <row r="5" spans="1:3" x14ac:dyDescent="0.25">
      <c r="A5" t="s">
        <v>9</v>
      </c>
      <c r="B5" s="4">
        <v>200879900</v>
      </c>
      <c r="C5" s="5">
        <v>-0.16336052119731903</v>
      </c>
    </row>
    <row r="6" spans="1:3" x14ac:dyDescent="0.25">
      <c r="A6" t="s">
        <v>10</v>
      </c>
      <c r="B6" s="4">
        <v>107873900</v>
      </c>
      <c r="C6" s="5">
        <v>-0.62601888179779053</v>
      </c>
    </row>
    <row r="7" spans="1:3" x14ac:dyDescent="0.25">
      <c r="A7" t="s">
        <v>11</v>
      </c>
      <c r="B7" s="4">
        <v>607473500</v>
      </c>
      <c r="C7" s="6">
        <v>0.81923085451126099</v>
      </c>
    </row>
    <row r="8" spans="1:3" x14ac:dyDescent="0.25">
      <c r="A8" t="s">
        <v>12</v>
      </c>
      <c r="B8" s="4">
        <v>478113900</v>
      </c>
      <c r="C8" s="5">
        <v>-0.39713191986083984</v>
      </c>
    </row>
    <row r="9" spans="1:3" x14ac:dyDescent="0.25">
      <c r="A9" t="s">
        <v>13</v>
      </c>
      <c r="B9" s="4">
        <v>104340600</v>
      </c>
      <c r="C9" s="5">
        <v>-0.20658062398433685</v>
      </c>
    </row>
    <row r="10" spans="1:3" x14ac:dyDescent="0.25">
      <c r="A10" t="s">
        <v>14</v>
      </c>
      <c r="B10" s="4">
        <v>158309000</v>
      </c>
      <c r="C10" s="5">
        <v>-0.6053471565246582</v>
      </c>
    </row>
    <row r="11" spans="1:3" x14ac:dyDescent="0.25">
      <c r="A11" t="s">
        <v>15</v>
      </c>
      <c r="B11" s="4">
        <v>502757100</v>
      </c>
      <c r="C11" s="6">
        <v>0.83952707052230835</v>
      </c>
    </row>
    <row r="12" spans="1:3" x14ac:dyDescent="0.25">
      <c r="A12" t="s">
        <v>16</v>
      </c>
      <c r="B12" s="4">
        <v>237212300</v>
      </c>
      <c r="C12" s="5">
        <v>-7.7529586851596832E-2</v>
      </c>
    </row>
    <row r="13" spans="1:3" x14ac:dyDescent="0.25">
      <c r="A13" t="s">
        <v>17</v>
      </c>
      <c r="B13" s="4">
        <v>538024300</v>
      </c>
      <c r="C13" s="5">
        <v>-0.44593092799186707</v>
      </c>
    </row>
    <row r="14" spans="1:3" x14ac:dyDescent="0.25">
      <c r="A14" t="s">
        <v>18</v>
      </c>
      <c r="B14" s="4">
        <v>151434700</v>
      </c>
      <c r="C14" s="5">
        <v>-4.9957673996686935E-2</v>
      </c>
    </row>
    <row r="15" spans="1:3" x14ac:dyDescent="0.25">
      <c r="A15" t="s">
        <v>19</v>
      </c>
      <c r="B15" s="4">
        <v>136539100</v>
      </c>
      <c r="C15" s="5">
        <v>-3.5443063825368881E-2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2017</vt:lpstr>
      <vt:lpstr>2018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richard depestre</cp:lastModifiedBy>
  <dcterms:created xsi:type="dcterms:W3CDTF">2019-05-02T20:23:55Z</dcterms:created>
  <dcterms:modified xsi:type="dcterms:W3CDTF">2021-02-18T23:17:21Z</dcterms:modified>
</cp:coreProperties>
</file>